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9DFDE78-BEBA-4B84-9325-85ABA606C792}" xr6:coauthVersionLast="47" xr6:coauthVersionMax="47" xr10:uidLastSave="{00000000-0000-0000-0000-000000000000}"/>
  <bookViews>
    <workbookView xWindow="-120" yWindow="-120" windowWidth="20730" windowHeight="11160" xr2:uid="{452F33C7-BA90-4A40-A853-3E9542149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5" i="1"/>
  <c r="D12" i="1"/>
  <c r="I3" i="1"/>
  <c r="I4" i="1"/>
  <c r="I5" i="1"/>
  <c r="I6" i="1"/>
  <c r="I7" i="1"/>
  <c r="I8" i="1"/>
  <c r="I9" i="1"/>
  <c r="I2" i="1"/>
  <c r="B19" i="1"/>
  <c r="B18" i="1"/>
  <c r="H3" i="1"/>
  <c r="H4" i="1"/>
  <c r="H5" i="1"/>
  <c r="H6" i="1"/>
  <c r="H7" i="1"/>
  <c r="H8" i="1"/>
  <c r="H9" i="1"/>
  <c r="H2" i="1"/>
  <c r="B15" i="1"/>
  <c r="B12" i="1"/>
  <c r="K5" i="1"/>
  <c r="K4" i="1"/>
  <c r="K3" i="1"/>
  <c r="K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<sst xmlns="http://schemas.openxmlformats.org/spreadsheetml/2006/main" count="27" uniqueCount="27">
  <si>
    <t>TOTAL</t>
  </si>
  <si>
    <t>RESULT</t>
  </si>
  <si>
    <t>AVERAGE</t>
  </si>
  <si>
    <t>Name</t>
  </si>
  <si>
    <t>Hindi</t>
  </si>
  <si>
    <t>English</t>
  </si>
  <si>
    <t>Maths</t>
  </si>
  <si>
    <t>Science</t>
  </si>
  <si>
    <t>EVS</t>
  </si>
  <si>
    <t>Kamal</t>
  </si>
  <si>
    <t>Aman</t>
  </si>
  <si>
    <t>Roop</t>
  </si>
  <si>
    <t>Guri</t>
  </si>
  <si>
    <t>Gopi</t>
  </si>
  <si>
    <t>Happy</t>
  </si>
  <si>
    <t>Ravi</t>
  </si>
  <si>
    <t>Roji</t>
  </si>
  <si>
    <t>SUMIF</t>
  </si>
  <si>
    <t>COUNT</t>
  </si>
  <si>
    <t>counta</t>
  </si>
  <si>
    <t>countif</t>
  </si>
  <si>
    <t>averageif</t>
  </si>
  <si>
    <t>MINIMUM</t>
  </si>
  <si>
    <t>MAXIMUM</t>
  </si>
  <si>
    <t>DAY 3</t>
  </si>
  <si>
    <t>26_08_2026</t>
  </si>
  <si>
    <t>SUMIF,COUNT,COUNTA,COUNTIF,AVERAGEIF,MINIMUM,MAXIMUM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</si>
</sst>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39BCAC-3AA7-4900-B6F2-2337B77ED5FE}" name="Table3" displayName="Table3" ref="A1:I9" totalsRowShown="0" headerRowDxfId="0" dataDxfId="1">
  <autoFilter ref="A1:I9" xr:uid="{C439BCAC-3AA7-4900-B6F2-2337B77ED5FE}"/>
  <tableColumns count="9">
    <tableColumn id="1" xr3:uid="{552B4B45-61EB-4D6C-A910-48BF8EFBF392}" name="Name"/>
    <tableColumn id="2" xr3:uid="{6F367390-441D-49C7-B1A9-E2076A5101A2}" name="Hindi" dataDxfId="7"/>
    <tableColumn id="3" xr3:uid="{82D38800-0CDB-49E2-9D91-9B9056211C96}" name="English" dataDxfId="6"/>
    <tableColumn id="4" xr3:uid="{B5A97DA7-E0A4-416A-B2DC-5753E0D79A39}" name="Maths" dataDxfId="5"/>
    <tableColumn id="5" xr3:uid="{1E264D1D-5F55-487A-9CBD-48B8D7244782}" name="Science" dataDxfId="4"/>
    <tableColumn id="6" xr3:uid="{D9586292-DE3C-4C14-8333-D0CE7C725916}" name="EVS" dataDxfId="3"/>
    <tableColumn id="7" xr3:uid="{27813407-38FB-4F08-8FC7-8826899AF113}" name="TOTAL" dataDxfId="2">
      <calculatedColumnFormula>SUM(B2:F2)</calculatedColumnFormula>
    </tableColumn>
    <tableColumn id="8" xr3:uid="{2244CE0C-95F0-44A0-A510-649AA9C53C76}" name="RESULT">
      <calculatedColumnFormula>IF(G2&gt;=300,"PASS","FAIL")</calculatedColumnFormula>
    </tableColumn>
    <tableColumn id="9" xr3:uid="{2660F210-CA73-4E2A-89A0-E830C8A76072}" name="AVERAGE">
      <calculatedColumnFormula>AVERAGE(G2/500*100)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E5D9-BB3B-4523-B49E-654AD4BE3B27}">
  <dimension ref="A1:S19"/>
  <sheetViews>
    <sheetView tabSelected="1" workbookViewId="0">
      <selection activeCell="I14" sqref="I14"/>
    </sheetView>
  </sheetViews>
  <sheetFormatPr defaultRowHeight="15" x14ac:dyDescent="0.25"/>
  <cols>
    <col min="3" max="3" width="9.42578125" customWidth="1"/>
    <col min="5" max="5" width="9.85546875" customWidth="1"/>
    <col min="8" max="8" width="9.5703125" customWidth="1"/>
    <col min="9" max="9" width="11.5703125" customWidth="1"/>
  </cols>
  <sheetData>
    <row r="1" spans="1:19" x14ac:dyDescent="0.25">
      <c r="A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K1" s="1" t="s">
        <v>17</v>
      </c>
      <c r="O1" s="2" t="s">
        <v>24</v>
      </c>
      <c r="P1" s="3"/>
      <c r="Q1" s="3"/>
    </row>
    <row r="2" spans="1:19" x14ac:dyDescent="0.25">
      <c r="A2" t="s">
        <v>9</v>
      </c>
      <c r="B2" s="1">
        <v>90</v>
      </c>
      <c r="C2" s="1">
        <v>67</v>
      </c>
      <c r="D2" s="1">
        <v>44</v>
      </c>
      <c r="E2" s="1">
        <v>44</v>
      </c>
      <c r="F2" s="1">
        <v>76</v>
      </c>
      <c r="G2" s="1">
        <f>SUM(B2:F2)</f>
        <v>321</v>
      </c>
      <c r="H2" t="str">
        <f>IF(G2&gt;=300,"PASS","FAIL")</f>
        <v>PASS</v>
      </c>
      <c r="I2">
        <f>AVERAGE(G2/500*100)</f>
        <v>64.2</v>
      </c>
      <c r="K2">
        <f>SUMIF(A2:A9,"*Kamal*",G2:G9)</f>
        <v>321</v>
      </c>
      <c r="O2" s="3"/>
      <c r="P2" s="3"/>
      <c r="Q2" s="3"/>
    </row>
    <row r="3" spans="1:19" x14ac:dyDescent="0.25">
      <c r="A3" t="s">
        <v>10</v>
      </c>
      <c r="B3" s="1">
        <v>64</v>
      </c>
      <c r="C3" s="1">
        <v>46</v>
      </c>
      <c r="D3" s="1">
        <v>44</v>
      </c>
      <c r="E3" s="1">
        <v>63</v>
      </c>
      <c r="F3" s="1">
        <v>75</v>
      </c>
      <c r="G3" s="1">
        <f t="shared" ref="G3:G9" si="0">SUM(B3:F3)</f>
        <v>292</v>
      </c>
      <c r="H3" t="str">
        <f t="shared" ref="H3:H9" si="1">IF(G3&gt;=300,"PASS","FAIL")</f>
        <v>FAIL</v>
      </c>
      <c r="I3">
        <f t="shared" ref="I3:I9" si="2">AVERAGE(G3/500*100)</f>
        <v>58.4</v>
      </c>
      <c r="K3">
        <f>SUMIF(C2:C9,"&gt;=50",G2:G9)</f>
        <v>1623</v>
      </c>
      <c r="N3" s="4" t="s">
        <v>25</v>
      </c>
      <c r="O3" s="3"/>
      <c r="P3" s="3"/>
      <c r="Q3" s="3"/>
      <c r="R3" s="3"/>
    </row>
    <row r="4" spans="1:19" x14ac:dyDescent="0.25">
      <c r="A4" t="s">
        <v>11</v>
      </c>
      <c r="B4" s="1">
        <v>78</v>
      </c>
      <c r="C4" s="1">
        <v>48</v>
      </c>
      <c r="D4" s="1">
        <v>90</v>
      </c>
      <c r="E4" s="1">
        <v>83</v>
      </c>
      <c r="F4" s="1">
        <v>98</v>
      </c>
      <c r="G4" s="1">
        <f t="shared" si="0"/>
        <v>397</v>
      </c>
      <c r="H4" t="str">
        <f t="shared" si="1"/>
        <v>PASS</v>
      </c>
      <c r="I4">
        <f t="shared" si="2"/>
        <v>79.400000000000006</v>
      </c>
      <c r="K4">
        <f>SUMIF(C2:C9,55,G2:G9)</f>
        <v>357</v>
      </c>
      <c r="N4" s="3"/>
      <c r="O4" s="3"/>
      <c r="P4" s="3"/>
      <c r="Q4" s="3"/>
      <c r="R4" s="3"/>
    </row>
    <row r="5" spans="1:19" x14ac:dyDescent="0.25">
      <c r="A5" t="s">
        <v>12</v>
      </c>
      <c r="B5" s="1">
        <v>81</v>
      </c>
      <c r="C5" s="1">
        <v>55</v>
      </c>
      <c r="D5" s="1">
        <v>57</v>
      </c>
      <c r="E5" s="1">
        <v>96</v>
      </c>
      <c r="F5" s="1">
        <v>68</v>
      </c>
      <c r="G5" s="1">
        <f t="shared" si="0"/>
        <v>357</v>
      </c>
      <c r="H5" t="str">
        <f t="shared" si="1"/>
        <v>PASS</v>
      </c>
      <c r="I5">
        <f t="shared" si="2"/>
        <v>71.399999999999991</v>
      </c>
      <c r="K5">
        <f>SUMIF(D2:D9,44,G2:G9)</f>
        <v>903</v>
      </c>
      <c r="M5" s="5" t="s">
        <v>26</v>
      </c>
      <c r="N5" s="3"/>
      <c r="O5" s="3"/>
      <c r="P5" s="3"/>
      <c r="Q5" s="3"/>
      <c r="R5" s="3"/>
      <c r="S5" s="3"/>
    </row>
    <row r="6" spans="1:19" x14ac:dyDescent="0.25">
      <c r="A6" t="s">
        <v>13</v>
      </c>
      <c r="B6" s="1">
        <v>44</v>
      </c>
      <c r="C6" s="1">
        <v>93</v>
      </c>
      <c r="D6" s="1">
        <v>87</v>
      </c>
      <c r="E6" s="1">
        <v>45</v>
      </c>
      <c r="F6" s="1">
        <v>56</v>
      </c>
      <c r="G6" s="1">
        <f t="shared" si="0"/>
        <v>325</v>
      </c>
      <c r="H6" t="str">
        <f t="shared" si="1"/>
        <v>PASS</v>
      </c>
      <c r="I6">
        <f t="shared" si="2"/>
        <v>65</v>
      </c>
      <c r="M6" s="3"/>
      <c r="N6" s="3"/>
      <c r="O6" s="3"/>
      <c r="P6" s="3"/>
      <c r="Q6" s="3"/>
      <c r="R6" s="3"/>
      <c r="S6" s="3"/>
    </row>
    <row r="7" spans="1:19" x14ac:dyDescent="0.25">
      <c r="A7" t="s">
        <v>14</v>
      </c>
      <c r="B7" s="1">
        <v>67</v>
      </c>
      <c r="C7" s="1">
        <v>45</v>
      </c>
      <c r="D7" s="1">
        <v>64</v>
      </c>
      <c r="E7" s="1">
        <v>58</v>
      </c>
      <c r="F7" s="1">
        <v>88</v>
      </c>
      <c r="G7" s="1">
        <f t="shared" si="0"/>
        <v>322</v>
      </c>
      <c r="H7" t="str">
        <f t="shared" si="1"/>
        <v>PASS</v>
      </c>
      <c r="I7">
        <f t="shared" si="2"/>
        <v>64.400000000000006</v>
      </c>
      <c r="M7" s="3"/>
      <c r="N7" s="3"/>
      <c r="O7" s="3"/>
      <c r="P7" s="3"/>
      <c r="Q7" s="3"/>
      <c r="R7" s="3"/>
      <c r="S7" s="3"/>
    </row>
    <row r="8" spans="1:19" x14ac:dyDescent="0.25">
      <c r="A8" t="s">
        <v>15</v>
      </c>
      <c r="B8" s="1">
        <v>41</v>
      </c>
      <c r="C8" s="1">
        <v>95</v>
      </c>
      <c r="D8" s="1">
        <v>44</v>
      </c>
      <c r="E8" s="1">
        <v>65</v>
      </c>
      <c r="F8" s="1">
        <v>45</v>
      </c>
      <c r="G8" s="1">
        <f t="shared" si="0"/>
        <v>290</v>
      </c>
      <c r="H8" t="str">
        <f t="shared" si="1"/>
        <v>FAIL</v>
      </c>
      <c r="I8">
        <f t="shared" si="2"/>
        <v>57.999999999999993</v>
      </c>
      <c r="M8" s="3"/>
      <c r="N8" s="3"/>
      <c r="O8" s="3"/>
      <c r="P8" s="3"/>
      <c r="Q8" s="3"/>
      <c r="R8" s="3"/>
      <c r="S8" s="3"/>
    </row>
    <row r="9" spans="1:19" x14ac:dyDescent="0.25">
      <c r="A9" t="s">
        <v>16</v>
      </c>
      <c r="B9" s="1">
        <v>86</v>
      </c>
      <c r="C9" s="1">
        <v>57</v>
      </c>
      <c r="D9" s="1">
        <v>40</v>
      </c>
      <c r="E9" s="1">
        <v>89</v>
      </c>
      <c r="F9" s="1">
        <v>58</v>
      </c>
      <c r="G9" s="1">
        <f t="shared" si="0"/>
        <v>330</v>
      </c>
      <c r="H9" t="str">
        <f t="shared" si="1"/>
        <v>PASS</v>
      </c>
      <c r="I9">
        <f t="shared" si="2"/>
        <v>66</v>
      </c>
    </row>
    <row r="11" spans="1:19" x14ac:dyDescent="0.25">
      <c r="B11" t="s">
        <v>18</v>
      </c>
      <c r="D11" t="s">
        <v>21</v>
      </c>
      <c r="L11" s="1"/>
    </row>
    <row r="12" spans="1:19" x14ac:dyDescent="0.25">
      <c r="B12">
        <f>COUNT(B2:B9)</f>
        <v>8</v>
      </c>
      <c r="D12">
        <f>AVERAGEIF(H2:H9,"PASS",I2:I9)</f>
        <v>68.399999999999991</v>
      </c>
    </row>
    <row r="14" spans="1:19" x14ac:dyDescent="0.25">
      <c r="B14" t="s">
        <v>19</v>
      </c>
      <c r="D14" t="s">
        <v>22</v>
      </c>
    </row>
    <row r="15" spans="1:19" x14ac:dyDescent="0.25">
      <c r="B15">
        <f>COUNTA(B2:B9)</f>
        <v>8</v>
      </c>
      <c r="D15">
        <f>MIN(I2:I9)</f>
        <v>57.999999999999993</v>
      </c>
    </row>
    <row r="17" spans="2:4" x14ac:dyDescent="0.25">
      <c r="B17" t="s">
        <v>20</v>
      </c>
      <c r="D17" t="s">
        <v>23</v>
      </c>
    </row>
    <row r="18" spans="2:4" x14ac:dyDescent="0.25">
      <c r="B18">
        <f>COUNTIF(H2:H9,"pass")</f>
        <v>6</v>
      </c>
      <c r="D18">
        <f>MAX(I2:I8)</f>
        <v>79.400000000000006</v>
      </c>
    </row>
    <row r="19" spans="2:4" x14ac:dyDescent="0.25">
      <c r="B19">
        <f>COUNTIF(H2:H9,"fail")</f>
        <v>2</v>
      </c>
    </row>
  </sheetData>
  <mergeCells count="3">
    <mergeCell ref="O1:Q2"/>
    <mergeCell ref="N3:R4"/>
    <mergeCell ref="M5:S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2026-09-24T01:16:41Z</dcterms:created>
  <dcterms:modified xsi:type="dcterms:W3CDTF">2026-09-24T03:11:58Z</dcterms:modified>
</cp:coreProperties>
</file>